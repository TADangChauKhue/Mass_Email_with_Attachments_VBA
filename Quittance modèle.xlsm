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incic-my.sharepoint.com/personal/dang-chau-khue_ta_vinci-construction_com/Documents/Desktop/chau/Alfortville 2/"/>
    </mc:Choice>
  </mc:AlternateContent>
  <xr:revisionPtr revIDLastSave="1060" documentId="8_{D20552CC-F230-4BDF-ACB7-A87BFE3EF5D3}" xr6:coauthVersionLast="47" xr6:coauthVersionMax="47" xr10:uidLastSave="{A74164D5-7289-44CC-8973-1F6156025402}"/>
  <workbookProtection workbookAlgorithmName="SHA-512" workbookHashValue="JzwmzkiGHuntwSMYfMXuNv8TrXPN1exsND4DHQ9d37r+SgUOANWEVLuh9wCga4lZmjomSQfTfdfSNdnKS3uqBg==" workbookSaltValue="myfQi6uSXLMDNOFezIARTg==" workbookSpinCount="100000" lockStructure="1"/>
  <bookViews>
    <workbookView xWindow="-120" yWindow="-120" windowWidth="29040" windowHeight="15720" xr2:uid="{DD09F47A-5750-4E8A-BD0C-E790935518F3}"/>
  </bookViews>
  <sheets>
    <sheet name="Modèle_quittance" sheetId="1" r:id="rId1"/>
    <sheet name="Donnée locatires" sheetId="2" r:id="rId2"/>
  </sheets>
  <definedNames>
    <definedName name="_xlnm.Print_Area" localSheetId="0">Modèle_quittance!$A$1:$H$41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2" i="2"/>
  <c r="D12" i="1" l="1"/>
  <c r="K12" i="1"/>
  <c r="K11" i="1"/>
  <c r="D18" i="1" s="1"/>
  <c r="K10" i="1"/>
  <c r="K9" i="1"/>
  <c r="K8" i="1"/>
  <c r="K13" i="1"/>
  <c r="D21" i="1" s="1"/>
  <c r="K6" i="1"/>
  <c r="F6" i="1" s="1"/>
  <c r="D6" i="1"/>
  <c r="D20" i="1" l="1"/>
  <c r="C24" i="1"/>
  <c r="D9" i="1"/>
</calcChain>
</file>

<file path=xl/sharedStrings.xml><?xml version="1.0" encoding="utf-8"?>
<sst xmlns="http://schemas.openxmlformats.org/spreadsheetml/2006/main" count="44" uniqueCount="37">
  <si>
    <t>Adresse</t>
  </si>
  <si>
    <t>Loyer</t>
  </si>
  <si>
    <t>QUITTANCE</t>
  </si>
  <si>
    <t>Pour la période du :</t>
  </si>
  <si>
    <t>au</t>
  </si>
  <si>
    <t>Adresse du bien loué:</t>
  </si>
  <si>
    <t>Locataire ou occupant:</t>
  </si>
  <si>
    <t xml:space="preserve">Quittance fournie par le bailleur: </t>
  </si>
  <si>
    <t>Loyer pour la période</t>
  </si>
  <si>
    <t xml:space="preserve">Fait à Paris, le </t>
  </si>
  <si>
    <t>Date de paiement</t>
  </si>
  <si>
    <t xml:space="preserve">Total payé en € </t>
  </si>
  <si>
    <t>Date de paiement:</t>
  </si>
  <si>
    <t xml:space="preserve">Cette quittance annule tous les reçus qui auraient pu être établis
 précédemment en cas de paiement partiel du montant du présent terme. Elle est à conserver pendant trois ans par le locataire (article 7-1 de la loi n° 89-462 du 6 juillet 1989) </t>
  </si>
  <si>
    <t>Donnée à remplir</t>
  </si>
  <si>
    <t>Début</t>
  </si>
  <si>
    <t>Fin</t>
  </si>
  <si>
    <t>Nom Prénom</t>
  </si>
  <si>
    <t>Adresse du bien</t>
  </si>
  <si>
    <t>Code postale</t>
  </si>
  <si>
    <t>Ville</t>
  </si>
  <si>
    <t>Nom locataire</t>
  </si>
  <si>
    <t>Vitry sur Seine</t>
  </si>
  <si>
    <t>Total payé</t>
  </si>
  <si>
    <t>Mail du locatire</t>
  </si>
  <si>
    <t>Document joint</t>
  </si>
  <si>
    <t>Mail template</t>
  </si>
  <si>
    <t>abc@gmail.com</t>
  </si>
  <si>
    <t>abc</t>
  </si>
  <si>
    <t>cde</t>
  </si>
  <si>
    <t>10 rue Viet</t>
  </si>
  <si>
    <t>11 rue Viet</t>
  </si>
  <si>
    <t>cde@gmail.com</t>
  </si>
  <si>
    <t>Quittanceabc01.05.2025.pdf</t>
  </si>
  <si>
    <t>Quittancecde01.05.2025.pdf</t>
  </si>
  <si>
    <t>&lt;p&gt;Bonjour name
&lt;p&gt;Ci-jointe votre quittance de loyer.&lt;/p&gt;
&lt;p&gt;Cordialement&lt;/p&gt;
&lt;p&gt;Nom propriétaire&lt;/p&gt;</t>
  </si>
  <si>
    <t>Nom propriétaire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</si>
</sst>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i/>
      <sz val="10.5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1D2228"/>
      <name val="Segoe UI"/>
      <family val="2"/>
    </font>
    <font>
      <u/>
      <sz val="8"/>
      <color rgb="FF0F69FF"/>
      <name val="Segoe UI"/>
      <family val="2"/>
    </font>
    <font>
      <sz val="8"/>
      <color rgb="FF0F69FF"/>
      <name val="Segoe UI"/>
      <family val="2"/>
    </font>
    <font>
      <sz val="11"/>
      <color rgb="FF222222"/>
      <name val="Arial"/>
      <family val="2"/>
    </font>
    <font>
      <sz val="11"/>
      <color rgb="FF353535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5" xfId="0" applyBorder="1"/>
    <xf numFmtId="0" fontId="0" fillId="0" borderId="6" xfId="0" applyBorder="1"/>
    <xf numFmtId="0" fontId="1" fillId="0" borderId="5" xfId="0" applyFont="1" applyBorder="1"/>
    <xf numFmtId="0" fontId="1" fillId="0" borderId="0" xfId="0" applyFont="1"/>
    <xf numFmtId="0" fontId="1" fillId="0" borderId="5" xfId="0" applyFont="1" applyBorder="1" applyAlignment="1">
      <alignment horizontal="left"/>
    </xf>
    <xf numFmtId="0" fontId="0" fillId="0" borderId="1" xfId="0" applyBorder="1"/>
    <xf numFmtId="14" fontId="0" fillId="0" borderId="1" xfId="0" applyNumberFormat="1" applyBorder="1"/>
    <xf numFmtId="14" fontId="0" fillId="0" borderId="0" xfId="0" applyNumberFormat="1"/>
    <xf numFmtId="14" fontId="6" fillId="0" borderId="0" xfId="1" applyNumberFormat="1"/>
    <xf numFmtId="0" fontId="0" fillId="0" borderId="0" xfId="0" applyAlignment="1">
      <alignment wrapText="1"/>
    </xf>
    <xf numFmtId="0" fontId="6" fillId="0" borderId="0" xfId="1"/>
    <xf numFmtId="0" fontId="7" fillId="0" borderId="0" xfId="0" applyFont="1"/>
    <xf numFmtId="0" fontId="8" fillId="0" borderId="0" xfId="0" applyFont="1"/>
    <xf numFmtId="164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20</xdr:row>
          <xdr:rowOff>66675</xdr:rowOff>
        </xdr:from>
        <xdr:to>
          <xdr:col>10</xdr:col>
          <xdr:colOff>600075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24</xdr:row>
          <xdr:rowOff>104775</xdr:rowOff>
        </xdr:from>
        <xdr:to>
          <xdr:col>10</xdr:col>
          <xdr:colOff>619125</xdr:colOff>
          <xdr:row>26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Envoie 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de@gmail.com" TargetMode="External"/><Relationship Id="rId1" Type="http://schemas.openxmlformats.org/officeDocument/2006/relationships/hyperlink" Target="mailto:ab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6349-7B8B-4D8E-9700-4CA5F50B36FB}">
  <sheetPr codeName="Feuil1">
    <pageSetUpPr fitToPage="1"/>
  </sheetPr>
  <dimension ref="B2:K44"/>
  <sheetViews>
    <sheetView tabSelected="1" view="pageBreakPreview" topLeftCell="A15" zoomScale="130" zoomScaleNormal="100" zoomScaleSheetLayoutView="130" workbookViewId="0">
      <selection activeCell="J31" sqref="J31"/>
    </sheetView>
  </sheetViews>
  <sheetFormatPr baseColWidth="10" defaultRowHeight="15" x14ac:dyDescent="0.25"/>
  <cols>
    <col min="2" max="2" width="14.7109375" customWidth="1"/>
    <col min="10" max="10" width="19.7109375" bestFit="1" customWidth="1"/>
    <col min="11" max="11" width="18.85546875" bestFit="1" customWidth="1"/>
  </cols>
  <sheetData>
    <row r="2" spans="2:11" ht="28.5" x14ac:dyDescent="0.45">
      <c r="B2" s="24" t="s">
        <v>2</v>
      </c>
      <c r="C2" s="25"/>
      <c r="D2" s="25"/>
      <c r="E2" s="25"/>
      <c r="F2" s="25"/>
      <c r="G2" s="26"/>
    </row>
    <row r="3" spans="2:11" x14ac:dyDescent="0.25">
      <c r="B3" s="1"/>
      <c r="G3" s="2"/>
    </row>
    <row r="4" spans="2:11" x14ac:dyDescent="0.25">
      <c r="B4" s="1"/>
      <c r="G4" s="2"/>
      <c r="J4" s="27" t="s">
        <v>14</v>
      </c>
      <c r="K4" s="28"/>
    </row>
    <row r="5" spans="2:11" x14ac:dyDescent="0.25">
      <c r="B5" s="1"/>
      <c r="G5" s="2"/>
      <c r="J5" s="6" t="s">
        <v>15</v>
      </c>
      <c r="K5" s="7">
        <v>45778</v>
      </c>
    </row>
    <row r="6" spans="2:11" x14ac:dyDescent="0.25">
      <c r="B6" s="3" t="s">
        <v>3</v>
      </c>
      <c r="D6" s="8">
        <f>K5</f>
        <v>45778</v>
      </c>
      <c r="E6" s="4" t="s">
        <v>4</v>
      </c>
      <c r="F6" s="8">
        <f>K6</f>
        <v>45808</v>
      </c>
      <c r="G6" s="2"/>
      <c r="J6" s="6" t="s">
        <v>16</v>
      </c>
      <c r="K6" s="7">
        <f>EOMONTH(K5,0)</f>
        <v>45808</v>
      </c>
    </row>
    <row r="7" spans="2:11" x14ac:dyDescent="0.25">
      <c r="B7" s="3"/>
      <c r="D7" s="8"/>
      <c r="E7" s="4"/>
      <c r="F7" s="8"/>
      <c r="G7" s="2"/>
      <c r="J7" s="6" t="s">
        <v>17</v>
      </c>
      <c r="K7" t="s">
        <v>29</v>
      </c>
    </row>
    <row r="8" spans="2:11" x14ac:dyDescent="0.25">
      <c r="B8" s="3"/>
      <c r="G8" s="2"/>
      <c r="J8" s="6" t="s">
        <v>18</v>
      </c>
      <c r="K8" s="6" t="str">
        <f>VLOOKUP($K$7,'Donnée locatires'!$A:$G,2,0)</f>
        <v>11 rue Viet</v>
      </c>
    </row>
    <row r="9" spans="2:11" x14ac:dyDescent="0.25">
      <c r="B9" s="3" t="s">
        <v>5</v>
      </c>
      <c r="D9" t="str">
        <f>K8&amp;" "&amp; K9 &amp;" "&amp; K10</f>
        <v>11 rue Viet 94000 Vitry sur Seine</v>
      </c>
      <c r="G9" s="2"/>
      <c r="J9" s="6" t="s">
        <v>19</v>
      </c>
      <c r="K9" s="6">
        <f>VLOOKUP($K$7,'Donnée locatires'!$A:$G,3,0)</f>
        <v>94000</v>
      </c>
    </row>
    <row r="10" spans="2:11" x14ac:dyDescent="0.25">
      <c r="B10" s="3"/>
      <c r="G10" s="2"/>
      <c r="J10" s="6" t="s">
        <v>20</v>
      </c>
      <c r="K10" s="6" t="str">
        <f>VLOOKUP($K$7,'Donnée locatires'!$A:$G,4,0)</f>
        <v>Vitry sur Seine</v>
      </c>
    </row>
    <row r="11" spans="2:11" x14ac:dyDescent="0.25">
      <c r="B11" s="3"/>
      <c r="G11" s="2"/>
      <c r="J11" s="6" t="s">
        <v>1</v>
      </c>
      <c r="K11" s="6">
        <f>VLOOKUP($K$7,'Donnée locatires'!$A:$G,5,0)</f>
        <v>500</v>
      </c>
    </row>
    <row r="12" spans="2:11" x14ac:dyDescent="0.25">
      <c r="B12" s="3" t="s">
        <v>6</v>
      </c>
      <c r="D12" t="str">
        <f>+K7</f>
        <v>cde</v>
      </c>
      <c r="G12" s="2"/>
      <c r="J12" s="6" t="s">
        <v>23</v>
      </c>
      <c r="K12" s="6">
        <f>VLOOKUP($K$7,'Donnée locatires'!$A:$G,6,0)</f>
        <v>500</v>
      </c>
    </row>
    <row r="13" spans="2:11" x14ac:dyDescent="0.25">
      <c r="B13" s="3"/>
      <c r="G13" s="2"/>
      <c r="J13" s="6" t="s">
        <v>10</v>
      </c>
      <c r="K13" s="7">
        <f>VLOOKUP($K$7,'Donnée locatires'!A1:G61,7,0)</f>
        <v>45789</v>
      </c>
    </row>
    <row r="14" spans="2:11" x14ac:dyDescent="0.25">
      <c r="B14" s="1"/>
      <c r="G14" s="2"/>
    </row>
    <row r="15" spans="2:11" x14ac:dyDescent="0.25">
      <c r="B15" s="5" t="s">
        <v>7</v>
      </c>
      <c r="E15" t="s">
        <v>36</v>
      </c>
      <c r="G15" s="2"/>
    </row>
    <row r="16" spans="2:11" x14ac:dyDescent="0.25">
      <c r="B16" s="5"/>
      <c r="G16" s="2"/>
    </row>
    <row r="17" spans="2:7" x14ac:dyDescent="0.25">
      <c r="B17" s="1"/>
      <c r="G17" s="2"/>
    </row>
    <row r="18" spans="2:7" x14ac:dyDescent="0.25">
      <c r="B18" s="1" t="s">
        <v>8</v>
      </c>
      <c r="D18">
        <f>K11</f>
        <v>500</v>
      </c>
      <c r="G18" s="2"/>
    </row>
    <row r="19" spans="2:7" x14ac:dyDescent="0.25">
      <c r="B19" s="1"/>
      <c r="G19" s="2"/>
    </row>
    <row r="20" spans="2:7" x14ac:dyDescent="0.25">
      <c r="B20" s="3" t="s">
        <v>11</v>
      </c>
      <c r="D20">
        <f>D18</f>
        <v>500</v>
      </c>
      <c r="G20" s="2"/>
    </row>
    <row r="21" spans="2:7" x14ac:dyDescent="0.25">
      <c r="B21" s="1" t="s">
        <v>12</v>
      </c>
      <c r="D21" s="8">
        <f>K13</f>
        <v>45789</v>
      </c>
      <c r="G21" s="2"/>
    </row>
    <row r="22" spans="2:7" ht="15.75" customHeight="1" x14ac:dyDescent="0.25">
      <c r="B22" s="1"/>
      <c r="G22" s="2"/>
    </row>
    <row r="23" spans="2:7" ht="15.75" customHeight="1" x14ac:dyDescent="0.25">
      <c r="B23" s="1"/>
      <c r="G23" s="2"/>
    </row>
    <row r="24" spans="2:7" ht="15.75" customHeight="1" x14ac:dyDescent="0.25">
      <c r="B24" s="1" t="s">
        <v>9</v>
      </c>
      <c r="C24" s="8">
        <f>K13</f>
        <v>45789</v>
      </c>
      <c r="G24" s="2"/>
    </row>
    <row r="25" spans="2:7" ht="15.75" customHeight="1" x14ac:dyDescent="0.25">
      <c r="B25" s="1"/>
      <c r="C25" s="8"/>
      <c r="G25" s="2"/>
    </row>
    <row r="26" spans="2:7" ht="15.75" customHeight="1" x14ac:dyDescent="0.25">
      <c r="B26" s="1"/>
      <c r="C26" s="8"/>
      <c r="G26" s="2"/>
    </row>
    <row r="27" spans="2:7" ht="15.75" customHeight="1" x14ac:dyDescent="0.25">
      <c r="B27" s="1"/>
      <c r="C27" s="8"/>
      <c r="G27" s="2"/>
    </row>
    <row r="28" spans="2:7" x14ac:dyDescent="0.25">
      <c r="B28" s="1"/>
      <c r="C28" s="8"/>
      <c r="G28" s="2"/>
    </row>
    <row r="29" spans="2:7" x14ac:dyDescent="0.25">
      <c r="B29" s="1"/>
      <c r="G29" s="2"/>
    </row>
    <row r="30" spans="2:7" x14ac:dyDescent="0.25">
      <c r="B30" s="1"/>
      <c r="G30" s="2"/>
    </row>
    <row r="31" spans="2:7" x14ac:dyDescent="0.25">
      <c r="B31" s="1"/>
      <c r="G31" s="2"/>
    </row>
    <row r="32" spans="2:7" x14ac:dyDescent="0.25">
      <c r="B32" s="1"/>
      <c r="G32" s="2"/>
    </row>
    <row r="33" spans="2:7" x14ac:dyDescent="0.25">
      <c r="B33" s="1"/>
      <c r="G33" s="2"/>
    </row>
    <row r="34" spans="2:7" x14ac:dyDescent="0.25">
      <c r="B34" s="1"/>
      <c r="G34" s="2"/>
    </row>
    <row r="35" spans="2:7" x14ac:dyDescent="0.25">
      <c r="B35" s="1"/>
      <c r="G35" s="2"/>
    </row>
    <row r="36" spans="2:7" ht="15" customHeight="1" x14ac:dyDescent="0.25">
      <c r="B36" s="18" t="s">
        <v>13</v>
      </c>
      <c r="C36" s="19"/>
      <c r="D36" s="19"/>
      <c r="E36" s="19"/>
      <c r="F36" s="19"/>
      <c r="G36" s="20"/>
    </row>
    <row r="37" spans="2:7" x14ac:dyDescent="0.25">
      <c r="B37" s="18"/>
      <c r="C37" s="19"/>
      <c r="D37" s="19"/>
      <c r="E37" s="19"/>
      <c r="F37" s="19"/>
      <c r="G37" s="20"/>
    </row>
    <row r="38" spans="2:7" x14ac:dyDescent="0.25">
      <c r="B38" s="18"/>
      <c r="C38" s="19"/>
      <c r="D38" s="19"/>
      <c r="E38" s="19"/>
      <c r="F38" s="19"/>
      <c r="G38" s="20"/>
    </row>
    <row r="39" spans="2:7" x14ac:dyDescent="0.25">
      <c r="B39" s="18"/>
      <c r="C39" s="19"/>
      <c r="D39" s="19"/>
      <c r="E39" s="19"/>
      <c r="F39" s="19"/>
      <c r="G39" s="20"/>
    </row>
    <row r="40" spans="2:7" x14ac:dyDescent="0.25">
      <c r="B40" s="21"/>
      <c r="C40" s="22"/>
      <c r="D40" s="22"/>
      <c r="E40" s="22"/>
      <c r="F40" s="22"/>
      <c r="G40" s="23"/>
    </row>
    <row r="44" spans="2:7" ht="15" customHeight="1" x14ac:dyDescent="0.25"/>
  </sheetData>
  <mergeCells count="3">
    <mergeCell ref="B36:G40"/>
    <mergeCell ref="B2:G2"/>
    <mergeCell ref="J4:K4"/>
  </mergeCells>
  <pageMargins left="0.7" right="0.7" top="0.75" bottom="0.75" header="0.3" footer="0.3"/>
  <pageSetup paperSize="9" scale="9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portpdf">
                <anchor moveWithCells="1" sizeWithCells="1">
                  <from>
                    <xdr:col>9</xdr:col>
                    <xdr:colOff>447675</xdr:colOff>
                    <xdr:row>20</xdr:row>
                    <xdr:rowOff>66675</xdr:rowOff>
                  </from>
                  <to>
                    <xdr:col>10</xdr:col>
                    <xdr:colOff>600075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ndEmails">
                <anchor moveWithCells="1" sizeWithCells="1">
                  <from>
                    <xdr:col>9</xdr:col>
                    <xdr:colOff>495300</xdr:colOff>
                    <xdr:row>24</xdr:row>
                    <xdr:rowOff>104775</xdr:rowOff>
                  </from>
                  <to>
                    <xdr:col>10</xdr:col>
                    <xdr:colOff>619125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826B1-82BF-4FD8-938B-FF71A70052B3}">
  <sheetPr codeName="Feuil2"/>
  <dimension ref="A1:K21"/>
  <sheetViews>
    <sheetView workbookViewId="0">
      <selection activeCell="D2" sqref="D2"/>
    </sheetView>
  </sheetViews>
  <sheetFormatPr baseColWidth="10" defaultRowHeight="15" x14ac:dyDescent="0.25"/>
  <cols>
    <col min="1" max="1" width="17.28515625" customWidth="1"/>
    <col min="2" max="2" width="18.140625" customWidth="1"/>
    <col min="3" max="3" width="12.5703125" bestFit="1" customWidth="1"/>
    <col min="4" max="4" width="13.85546875" bestFit="1" customWidth="1"/>
    <col min="7" max="7" width="17" bestFit="1" customWidth="1"/>
    <col min="8" max="8" width="38" customWidth="1"/>
    <col min="9" max="9" width="51.85546875" customWidth="1"/>
    <col min="10" max="10" width="45.140625" customWidth="1"/>
  </cols>
  <sheetData>
    <row r="1" spans="1:11" x14ac:dyDescent="0.25">
      <c r="A1" t="s">
        <v>21</v>
      </c>
      <c r="B1" t="s">
        <v>0</v>
      </c>
      <c r="C1" t="s">
        <v>19</v>
      </c>
      <c r="D1" t="s">
        <v>20</v>
      </c>
      <c r="E1" t="s">
        <v>1</v>
      </c>
      <c r="F1" t="s">
        <v>23</v>
      </c>
      <c r="G1" t="s">
        <v>10</v>
      </c>
      <c r="H1" t="s">
        <v>24</v>
      </c>
      <c r="I1" t="s">
        <v>25</v>
      </c>
      <c r="J1" t="s">
        <v>26</v>
      </c>
    </row>
    <row r="2" spans="1:11" ht="60" x14ac:dyDescent="0.25">
      <c r="A2" t="s">
        <v>28</v>
      </c>
      <c r="B2" t="s">
        <v>30</v>
      </c>
      <c r="C2">
        <v>94000</v>
      </c>
      <c r="D2" t="s">
        <v>22</v>
      </c>
      <c r="E2">
        <v>565</v>
      </c>
      <c r="F2">
        <f>E2</f>
        <v>565</v>
      </c>
      <c r="G2" s="14">
        <v>45788</v>
      </c>
      <c r="H2" s="9" t="s">
        <v>27</v>
      </c>
      <c r="I2" t="s">
        <v>33</v>
      </c>
      <c r="J2" s="10" t="s">
        <v>35</v>
      </c>
      <c r="K2" s="9"/>
    </row>
    <row r="3" spans="1:11" x14ac:dyDescent="0.25">
      <c r="A3" t="s">
        <v>29</v>
      </c>
      <c r="B3" t="s">
        <v>31</v>
      </c>
      <c r="C3">
        <v>94000</v>
      </c>
      <c r="D3" t="s">
        <v>22</v>
      </c>
      <c r="E3">
        <v>500</v>
      </c>
      <c r="F3">
        <f t="shared" ref="F3:F18" si="0">E3</f>
        <v>500</v>
      </c>
      <c r="G3" s="14">
        <v>45789</v>
      </c>
      <c r="H3" s="9" t="s">
        <v>32</v>
      </c>
      <c r="I3" t="s">
        <v>34</v>
      </c>
      <c r="K3" s="9"/>
    </row>
    <row r="4" spans="1:11" x14ac:dyDescent="0.25">
      <c r="G4" s="14"/>
      <c r="H4" s="9"/>
      <c r="K4" s="11"/>
    </row>
    <row r="5" spans="1:11" x14ac:dyDescent="0.25">
      <c r="G5" s="14"/>
      <c r="H5" s="9"/>
      <c r="K5" s="15"/>
    </row>
    <row r="6" spans="1:11" x14ac:dyDescent="0.25">
      <c r="G6" s="14"/>
      <c r="H6" s="9"/>
      <c r="K6" s="9"/>
    </row>
    <row r="7" spans="1:11" x14ac:dyDescent="0.25">
      <c r="G7" s="14"/>
      <c r="H7" s="9"/>
      <c r="K7" s="11"/>
    </row>
    <row r="8" spans="1:11" x14ac:dyDescent="0.25">
      <c r="G8" s="14"/>
      <c r="H8" s="9"/>
      <c r="K8" s="13"/>
    </row>
    <row r="9" spans="1:11" x14ac:dyDescent="0.25">
      <c r="G9" s="14"/>
      <c r="H9" s="9"/>
      <c r="K9" s="9"/>
    </row>
    <row r="10" spans="1:11" x14ac:dyDescent="0.25">
      <c r="G10" s="14"/>
      <c r="H10" s="9"/>
      <c r="K10" s="8"/>
    </row>
    <row r="11" spans="1:11" x14ac:dyDescent="0.25">
      <c r="G11" s="14"/>
      <c r="H11" s="9"/>
      <c r="K11" s="11"/>
    </row>
    <row r="12" spans="1:11" x14ac:dyDescent="0.25">
      <c r="G12" s="14"/>
      <c r="H12" s="9"/>
      <c r="K12" s="16"/>
    </row>
    <row r="13" spans="1:11" x14ac:dyDescent="0.25">
      <c r="G13" s="14"/>
      <c r="H13" s="9"/>
      <c r="K13" s="12"/>
    </row>
    <row r="14" spans="1:11" x14ac:dyDescent="0.25">
      <c r="G14" s="14"/>
      <c r="H14" s="9"/>
      <c r="K14" s="12"/>
    </row>
    <row r="15" spans="1:11" x14ac:dyDescent="0.25">
      <c r="G15" s="14"/>
      <c r="H15" s="9"/>
      <c r="K15" s="12"/>
    </row>
    <row r="16" spans="1:11" x14ac:dyDescent="0.25">
      <c r="G16" s="14"/>
      <c r="H16" s="9"/>
      <c r="K16" s="11"/>
    </row>
    <row r="17" spans="7:11" x14ac:dyDescent="0.25">
      <c r="G17" s="14"/>
      <c r="H17" s="9"/>
      <c r="K17" s="9"/>
    </row>
    <row r="18" spans="7:11" x14ac:dyDescent="0.25">
      <c r="G18" s="14"/>
      <c r="H18" s="9"/>
      <c r="K18" s="11"/>
    </row>
    <row r="19" spans="7:11" x14ac:dyDescent="0.25">
      <c r="G19" s="14"/>
      <c r="H19" s="9"/>
      <c r="K19" s="11"/>
    </row>
    <row r="20" spans="7:11" x14ac:dyDescent="0.25">
      <c r="G20" s="14"/>
      <c r="H20" s="9"/>
      <c r="K20" s="17"/>
    </row>
    <row r="21" spans="7:11" x14ac:dyDescent="0.25">
      <c r="G21" s="14"/>
      <c r="H21" s="9"/>
      <c r="K21" s="17"/>
    </row>
  </sheetData>
  <phoneticPr fontId="4" type="noConversion"/>
  <hyperlinks>
    <hyperlink ref="H2" r:id="rId1" xr:uid="{5EAE15E1-0E6A-41C3-860C-CA80B7309F1A}"/>
    <hyperlink ref="H3" r:id="rId2" xr:uid="{BC583CC3-2909-4402-80F1-E2E93E049CE6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Modèle_quittance</vt:lpstr>
      <vt:lpstr>Donnée locatires</vt:lpstr>
      <vt:lpstr>Modèle_quittance!Zone_d_impression</vt:lpstr>
    </vt:vector>
  </TitlesOfParts>
  <Company>VINCI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Dang-Chau-Khue</dc:creator>
  <cp:lastModifiedBy>TA Dang Chau Khue</cp:lastModifiedBy>
  <cp:lastPrinted>2025-05-01T17:51:23Z</cp:lastPrinted>
  <dcterms:created xsi:type="dcterms:W3CDTF">2024-02-13T17:13:30Z</dcterms:created>
  <dcterms:modified xsi:type="dcterms:W3CDTF">2025-05-01T17:53:52Z</dcterms:modified>
</cp:coreProperties>
</file>